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Inputs" sheetId="2" state="visible" r:id="rId4"/>
    <sheet name="Calculations" sheetId="3" state="visible" r:id="rId5"/>
    <sheet name="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Type one of: Best, Expected, Worst. Calculations tab updates automatically.</t>
        </r>
      </text>
    </comment>
    <comment ref="B19" authorId="0">
      <text>
        <r>
          <rPr>
            <sz val="10"/>
            <rFont val="Arial"/>
            <family val="2"/>
          </rPr>
          <t xml:space="preserve">Source: required. Industry benchmark with link, or your own data.</t>
        </r>
      </text>
    </comment>
    <comment ref="C19" authorId="0">
      <text>
        <r>
          <rPr>
            <sz val="10"/>
            <rFont val="Arial"/>
            <family val="2"/>
          </rPr>
          <t xml:space="preserve">Source: required.</t>
        </r>
      </text>
    </comment>
  </commentList>
</comments>
</file>

<file path=xl/sharedStrings.xml><?xml version="1.0" encoding="utf-8"?>
<sst xmlns="http://schemas.openxmlformats.org/spreadsheetml/2006/main" count="93" uniqueCount="77">
  <si>
    <t xml:space="preserve">Lab 10 -- Growth Projection Template</t>
  </si>
  <si>
    <t xml:space="preserve">How to use this template:</t>
  </si>
  <si>
    <t xml:space="preserve">1. Open the Inputs tab. Choose your scenario in cell B3 (Best, Expected, or Worst).</t>
  </si>
  <si>
    <t xml:space="preserve">2. Fill in the yellow cells with your team's assumptions for each of the three channels.</t>
  </si>
  <si>
    <t xml:space="preserve">3. Every yellow cell needs a source. Add a comment with the source for each.</t>
  </si>
  <si>
    <t xml:space="preserve">4. Open the Calculations tab. Do NOT edit -- all values are formulas.</t>
  </si>
  <si>
    <t xml:space="preserve">5. Open the Output tab. Review the cumulative users chart and the summary table.</t>
  </si>
  <si>
    <t xml:space="preserve">6. Switch the scenario in B3 of Inputs to see Best / Expected / Worst.</t>
  </si>
  <si>
    <t xml:space="preserve">7. Save the file as growth-projection.xlsx and commit to 04-gtm/financials/</t>
  </si>
  <si>
    <t xml:space="preserve">Color conventions used in this workbook:</t>
  </si>
  <si>
    <t xml:space="preserve">   Blue text = hardcoded input you can change</t>
  </si>
  <si>
    <t xml:space="preserve">   Black text = formula (do not edit directly)</t>
  </si>
  <si>
    <t xml:space="preserve">   Green text = cross-sheet reference</t>
  </si>
  <si>
    <t xml:space="preserve">   Yellow background = key assumption</t>
  </si>
  <si>
    <t xml:space="preserve">If you see any #REF, #DIV/0, or #VALUE errors, your inputs are likely empty.</t>
  </si>
  <si>
    <t xml:space="preserve">Fill in every yellow cell on the Inputs tab.</t>
  </si>
  <si>
    <t xml:space="preserve">Submission: commit growth-projection.xlsx to 04-gtm/financials/ before end of lab.</t>
  </si>
  <si>
    <t xml:space="preserve">Inputs</t>
  </si>
  <si>
    <t xml:space="preserve">Active Scenario:</t>
  </si>
  <si>
    <t xml:space="preserve">Expected</t>
  </si>
  <si>
    <t xml:space="preserve">&lt;-- type Best / Expected / Worst here</t>
  </si>
  <si>
    <t xml:space="preserve">Three Channels</t>
  </si>
  <si>
    <t xml:space="preserve">Channel</t>
  </si>
  <si>
    <t xml:space="preserve">Channel Name (rename below)</t>
  </si>
  <si>
    <t xml:space="preserve">Type</t>
  </si>
  <si>
    <t xml:space="preserve">Channel 1</t>
  </si>
  <si>
    <t xml:space="preserve">[Name your channel 1]</t>
  </si>
  <si>
    <t xml:space="preserve">[paid/organic/viral/sales]</t>
  </si>
  <si>
    <t xml:space="preserve">Channel 2</t>
  </si>
  <si>
    <t xml:space="preserve">[Name your channel 2]</t>
  </si>
  <si>
    <t xml:space="preserve">Channel 3</t>
  </si>
  <si>
    <t xml:space="preserve">[Name your channel 3]</t>
  </si>
  <si>
    <t xml:space="preserve">Monthly Spend per Channel ($) -- by Scenario</t>
  </si>
  <si>
    <t xml:space="preserve">Best Spend $/mo</t>
  </si>
  <si>
    <t xml:space="preserve">Expected Spend $/mo</t>
  </si>
  <si>
    <t xml:space="preserve">Worst Spend $/mo</t>
  </si>
  <si>
    <t xml:space="preserve">Assumptions per Channel (Expected case shown; Best/Worst use multipliers)</t>
  </si>
  <si>
    <t xml:space="preserve">Visitors per $1 spend</t>
  </si>
  <si>
    <t xml:space="preserve">Visit -&gt; Signup %</t>
  </si>
  <si>
    <t xml:space="preserve">Signup -&gt; Activated %</t>
  </si>
  <si>
    <t xml:space="preserve">Activated -&gt; D30 Retained %</t>
  </si>
  <si>
    <t xml:space="preserve">Scenario Multipliers (applied to conversion rates)</t>
  </si>
  <si>
    <t xml:space="preserve">Scenario</t>
  </si>
  <si>
    <t xml:space="preserve">Conversion Multiplier</t>
  </si>
  <si>
    <t xml:space="preserve">Best</t>
  </si>
  <si>
    <t xml:space="preserve">Worst</t>
  </si>
  <si>
    <t xml:space="preserve">Lifetime Value Inputs</t>
  </si>
  <si>
    <t xml:space="preserve">ARPU per month ($)</t>
  </si>
  <si>
    <t xml:space="preserve">Gross Margin (%)</t>
  </si>
  <si>
    <t xml:space="preserve">Average Lifetime (months)</t>
  </si>
  <si>
    <t xml:space="preserve">LTV (calculated)</t>
  </si>
  <si>
    <t xml:space="preserve">Calculations -- 6-Month Projection (formulas only, do not edit directly)</t>
  </si>
  <si>
    <t xml:space="preserve">Active Multiplier:</t>
  </si>
  <si>
    <t xml:space="preserve">Month</t>
  </si>
  <si>
    <t xml:space="preserve">Spend ($)</t>
  </si>
  <si>
    <t xml:space="preserve">Visitors</t>
  </si>
  <si>
    <t xml:space="preserve">Signups</t>
  </si>
  <si>
    <t xml:space="preserve">Activated</t>
  </si>
  <si>
    <t xml:space="preserve">Retained D30</t>
  </si>
  <si>
    <t xml:space="preserve">CAC ($)</t>
  </si>
  <si>
    <t xml:space="preserve">LTV ($)</t>
  </si>
  <si>
    <t xml:space="preserve">LTV:CAC</t>
  </si>
  <si>
    <t xml:space="preserve">Cumulative Users</t>
  </si>
  <si>
    <t xml:space="preserve">TOTAL</t>
  </si>
  <si>
    <t xml:space="preserve">Output Summary</t>
  </si>
  <si>
    <t xml:space="preserve">Total Spend ($)</t>
  </si>
  <si>
    <t xml:space="preserve">Total Signups</t>
  </si>
  <si>
    <t xml:space="preserve">Total Activated</t>
  </si>
  <si>
    <t xml:space="preserve">Cumulative Activated</t>
  </si>
  <si>
    <t xml:space="preserve">Headline Numbers (6-month totals)</t>
  </si>
  <si>
    <t xml:space="preserve">Total spend ($)</t>
  </si>
  <si>
    <t xml:space="preserve">Total signups</t>
  </si>
  <si>
    <t xml:space="preserve">Total activated users</t>
  </si>
  <si>
    <t xml:space="preserve">Blended CAC ($)</t>
  </si>
  <si>
    <t xml:space="preserve">Blended LTV:CAC ratio</t>
  </si>
  <si>
    <t xml:space="preserve">Healthy ratio threshold</t>
  </si>
  <si>
    <t xml:space="preserve">Status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</si>
</sst>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"/>
    <numFmt numFmtId="167" formatCode="0.0%"/>
    <numFmt numFmtId="168" formatCode="0.0\x"/>
    <numFmt numFmtId="169" formatCode="\$#,##0.00"/>
    <numFmt numFmtId="170" formatCode="#,##0"/>
    <numFmt numFmtId="171" formatCode="0.0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E768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2F3"/>
        <bgColor rgb="FFD9D9D9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E7681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Activated Users (current scenario)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Output!E5</c:f>
              <c:strCache>
                <c:ptCount val="1"/>
                <c:pt idx="0">
                  <c:v>Cumulative Activated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Output!$A$6:$A$11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Output!$E$6:$E$11</c:f>
              <c:numCache>
                <c:formatCode>#,##0</c:formatCode>
                <c:ptCount val="6"/>
                <c:pt idx="0">
                  <c:v>143</c:v>
                </c:pt>
                <c:pt idx="1">
                  <c:v>286</c:v>
                </c:pt>
                <c:pt idx="2">
                  <c:v>429</c:v>
                </c:pt>
                <c:pt idx="3">
                  <c:v>572</c:v>
                </c:pt>
                <c:pt idx="4">
                  <c:v>715</c:v>
                </c:pt>
                <c:pt idx="5">
                  <c:v>858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392854"/>
        <c:axId val="35015094"/>
      </c:lineChart>
      <c:catAx>
        <c:axId val="463928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15094"/>
        <c:crosses val="autoZero"/>
        <c:auto val="1"/>
        <c:lblAlgn val="ctr"/>
        <c:lblOffset val="100"/>
        <c:noMultiLvlLbl val="0"/>
      </c:catAx>
      <c:valAx>
        <c:axId val="350150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928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12</xdr:row>
      <xdr:rowOff>160560</xdr:rowOff>
    </xdr:from>
    <xdr:to>
      <xdr:col>10</xdr:col>
      <xdr:colOff>602640</xdr:colOff>
      <xdr:row>31</xdr:row>
      <xdr:rowOff>140760</xdr:rowOff>
    </xdr:to>
    <xdr:graphicFrame>
      <xdr:nvGraphicFramePr>
        <xdr:cNvPr id="0" name="Chart 1"/>
        <xdr:cNvGraphicFramePr/>
      </xdr:nvGraphicFramePr>
      <xdr:xfrm>
        <a:off x="4793040" y="2476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1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2" t="s">
        <v>2</v>
      </c>
      <c r="B5" s="2"/>
      <c r="C5" s="2"/>
      <c r="D5" s="2"/>
      <c r="E5" s="2"/>
      <c r="F5" s="2"/>
    </row>
    <row r="6" customFormat="false" ht="15" hidden="false" customHeight="false" outlineLevel="0" collapsed="false">
      <c r="A6" s="2" t="s">
        <v>3</v>
      </c>
      <c r="B6" s="2"/>
      <c r="C6" s="2"/>
      <c r="D6" s="2"/>
      <c r="E6" s="2"/>
      <c r="F6" s="2"/>
    </row>
    <row r="7" customFormat="false" ht="15" hidden="false" customHeight="false" outlineLevel="0" collapsed="false">
      <c r="A7" s="2" t="s">
        <v>4</v>
      </c>
      <c r="B7" s="2"/>
      <c r="C7" s="2"/>
      <c r="D7" s="2"/>
      <c r="E7" s="2"/>
      <c r="F7" s="2"/>
    </row>
    <row r="8" customFormat="false" ht="1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15" hidden="false" customHeight="false" outlineLevel="0" collapsed="false">
      <c r="A9" s="2" t="s">
        <v>6</v>
      </c>
      <c r="B9" s="2"/>
      <c r="C9" s="2"/>
      <c r="D9" s="2"/>
      <c r="E9" s="2"/>
      <c r="F9" s="2"/>
    </row>
    <row r="10" customFormat="false" ht="15" hidden="false" customHeight="false" outlineLevel="0" collapsed="false">
      <c r="A10" s="2" t="s">
        <v>7</v>
      </c>
      <c r="B10" s="2"/>
      <c r="C10" s="2"/>
      <c r="D10" s="2"/>
      <c r="E10" s="2"/>
      <c r="F10" s="2"/>
    </row>
    <row r="11" customFormat="false" ht="15" hidden="false" customHeight="false" outlineLevel="0" collapsed="false">
      <c r="A11" s="2" t="s">
        <v>8</v>
      </c>
      <c r="B11" s="2"/>
      <c r="C11" s="2"/>
      <c r="D11" s="2"/>
      <c r="E11" s="2"/>
      <c r="F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" hidden="false" customHeight="false" outlineLevel="0" collapsed="false">
      <c r="A13" s="3" t="s">
        <v>9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2" t="s">
        <v>10</v>
      </c>
      <c r="B14" s="2"/>
      <c r="C14" s="2"/>
      <c r="D14" s="2"/>
      <c r="E14" s="2"/>
      <c r="F14" s="2"/>
    </row>
    <row r="15" customFormat="false" ht="15" hidden="false" customHeight="false" outlineLevel="0" collapsed="false">
      <c r="A15" s="2" t="s">
        <v>11</v>
      </c>
      <c r="B15" s="2"/>
      <c r="C15" s="2"/>
      <c r="D15" s="2"/>
      <c r="E15" s="2"/>
      <c r="F15" s="2"/>
    </row>
    <row r="16" customFormat="false" ht="15" hidden="false" customHeight="false" outlineLevel="0" collapsed="false">
      <c r="A16" s="2" t="s">
        <v>12</v>
      </c>
      <c r="B16" s="2"/>
      <c r="C16" s="2"/>
      <c r="D16" s="2"/>
      <c r="E16" s="2"/>
      <c r="F16" s="2"/>
    </row>
    <row r="17" customFormat="false" ht="15" hidden="false" customHeight="false" outlineLevel="0" collapsed="false">
      <c r="A17" s="2" t="s">
        <v>13</v>
      </c>
      <c r="B17" s="2"/>
      <c r="C17" s="2"/>
      <c r="D17" s="2"/>
      <c r="E17" s="2"/>
      <c r="F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</row>
    <row r="19" customFormat="false" ht="15" hidden="false" customHeight="false" outlineLevel="0" collapsed="false">
      <c r="A19" s="2" t="s">
        <v>14</v>
      </c>
      <c r="B19" s="2"/>
      <c r="C19" s="2"/>
      <c r="D19" s="2"/>
      <c r="E19" s="2"/>
      <c r="F19" s="2"/>
    </row>
    <row r="20" customFormat="false" ht="15" hidden="false" customHeight="false" outlineLevel="0" collapsed="false">
      <c r="A20" s="2" t="s">
        <v>15</v>
      </c>
      <c r="B20" s="2"/>
      <c r="C20" s="2"/>
      <c r="D20" s="2"/>
      <c r="E20" s="2"/>
      <c r="F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</row>
    <row r="22" customFormat="false" ht="15" hidden="false" customHeight="false" outlineLevel="0" collapsed="false">
      <c r="A22" s="2" t="s">
        <v>16</v>
      </c>
      <c r="B22" s="2"/>
      <c r="C22" s="2"/>
      <c r="D22" s="2"/>
      <c r="E22" s="2"/>
      <c r="F22" s="2"/>
    </row>
  </sheetData>
  <mergeCells count="2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4" t="s">
        <v>17</v>
      </c>
    </row>
    <row r="3" customFormat="false" ht="15" hidden="false" customHeight="false" outlineLevel="0" collapsed="false">
      <c r="A3" s="5" t="s">
        <v>18</v>
      </c>
      <c r="B3" s="6" t="s">
        <v>19</v>
      </c>
      <c r="C3" s="7" t="s">
        <v>20</v>
      </c>
    </row>
    <row r="5" customFormat="false" ht="15" hidden="false" customHeight="false" outlineLevel="0" collapsed="false">
      <c r="A5" s="8" t="s">
        <v>21</v>
      </c>
    </row>
    <row r="6" customFormat="false" ht="15" hidden="false" customHeight="false" outlineLevel="0" collapsed="false">
      <c r="A6" s="9" t="s">
        <v>22</v>
      </c>
      <c r="B6" s="9" t="s">
        <v>23</v>
      </c>
      <c r="C6" s="9" t="s">
        <v>24</v>
      </c>
    </row>
    <row r="7" customFormat="false" ht="15" hidden="false" customHeight="false" outlineLevel="0" collapsed="false">
      <c r="A7" s="5" t="s">
        <v>25</v>
      </c>
      <c r="B7" s="10" t="s">
        <v>26</v>
      </c>
      <c r="C7" s="10" t="s">
        <v>27</v>
      </c>
    </row>
    <row r="8" customFormat="false" ht="15" hidden="false" customHeight="false" outlineLevel="0" collapsed="false">
      <c r="A8" s="5" t="s">
        <v>28</v>
      </c>
      <c r="B8" s="10" t="s">
        <v>29</v>
      </c>
      <c r="C8" s="10" t="s">
        <v>27</v>
      </c>
    </row>
    <row r="9" customFormat="false" ht="15" hidden="false" customHeight="false" outlineLevel="0" collapsed="false">
      <c r="A9" s="5" t="s">
        <v>30</v>
      </c>
      <c r="B9" s="10" t="s">
        <v>31</v>
      </c>
      <c r="C9" s="10" t="s">
        <v>27</v>
      </c>
    </row>
    <row r="11" customFormat="false" ht="15" hidden="false" customHeight="false" outlineLevel="0" collapsed="false">
      <c r="A11" s="8" t="s">
        <v>32</v>
      </c>
    </row>
    <row r="12" customFormat="false" ht="15" hidden="false" customHeight="false" outlineLevel="0" collapsed="false">
      <c r="A12" s="9" t="s">
        <v>22</v>
      </c>
      <c r="B12" s="9" t="s">
        <v>33</v>
      </c>
      <c r="C12" s="9" t="s">
        <v>34</v>
      </c>
      <c r="D12" s="9" t="s">
        <v>35</v>
      </c>
    </row>
    <row r="13" customFormat="false" ht="15" hidden="false" customHeight="false" outlineLevel="0" collapsed="false">
      <c r="A13" s="5" t="s">
        <v>25</v>
      </c>
      <c r="B13" s="11" t="n">
        <v>800</v>
      </c>
      <c r="C13" s="11" t="n">
        <v>500</v>
      </c>
      <c r="D13" s="11" t="n">
        <v>250</v>
      </c>
    </row>
    <row r="14" customFormat="false" ht="15" hidden="false" customHeight="false" outlineLevel="0" collapsed="false">
      <c r="A14" s="5" t="s">
        <v>28</v>
      </c>
      <c r="B14" s="11" t="n">
        <v>400</v>
      </c>
      <c r="C14" s="11" t="n">
        <v>200</v>
      </c>
      <c r="D14" s="11" t="n">
        <v>100</v>
      </c>
    </row>
    <row r="15" customFormat="false" ht="15" hidden="false" customHeight="false" outlineLevel="0" collapsed="false">
      <c r="A15" s="5" t="s">
        <v>30</v>
      </c>
      <c r="B15" s="11" t="n">
        <v>200</v>
      </c>
      <c r="C15" s="11" t="n">
        <v>100</v>
      </c>
      <c r="D15" s="11" t="n">
        <v>50</v>
      </c>
    </row>
    <row r="17" customFormat="false" ht="15" hidden="false" customHeight="false" outlineLevel="0" collapsed="false">
      <c r="A17" s="8" t="s">
        <v>36</v>
      </c>
    </row>
    <row r="18" customFormat="false" ht="15" hidden="false" customHeight="false" outlineLevel="0" collapsed="false">
      <c r="A18" s="9" t="s">
        <v>22</v>
      </c>
      <c r="B18" s="9" t="s">
        <v>37</v>
      </c>
      <c r="C18" s="9" t="s">
        <v>38</v>
      </c>
      <c r="D18" s="9" t="s">
        <v>39</v>
      </c>
      <c r="E18" s="9" t="s">
        <v>40</v>
      </c>
    </row>
    <row r="19" customFormat="false" ht="15" hidden="false" customHeight="false" outlineLevel="0" collapsed="false">
      <c r="A19" s="5" t="s">
        <v>25</v>
      </c>
      <c r="B19" s="12" t="n">
        <v>5</v>
      </c>
      <c r="C19" s="13" t="n">
        <v>0.04</v>
      </c>
      <c r="D19" s="13" t="n">
        <v>0.5</v>
      </c>
      <c r="E19" s="13" t="n">
        <v>0.4</v>
      </c>
    </row>
    <row r="20" customFormat="false" ht="15" hidden="false" customHeight="false" outlineLevel="0" collapsed="false">
      <c r="A20" s="5" t="s">
        <v>28</v>
      </c>
      <c r="B20" s="12" t="n">
        <v>8</v>
      </c>
      <c r="C20" s="13" t="n">
        <v>0.1</v>
      </c>
      <c r="D20" s="13" t="n">
        <v>0.55</v>
      </c>
      <c r="E20" s="13" t="n">
        <v>0.45</v>
      </c>
    </row>
    <row r="21" customFormat="false" ht="15" hidden="false" customHeight="false" outlineLevel="0" collapsed="false">
      <c r="A21" s="5" t="s">
        <v>30</v>
      </c>
      <c r="B21" s="12" t="n">
        <v>1</v>
      </c>
      <c r="C21" s="13" t="n">
        <v>0.1</v>
      </c>
      <c r="D21" s="13" t="n">
        <v>0.5</v>
      </c>
      <c r="E21" s="13" t="n">
        <v>0.4</v>
      </c>
    </row>
    <row r="23" customFormat="false" ht="15" hidden="false" customHeight="false" outlineLevel="0" collapsed="false">
      <c r="A23" s="8" t="s">
        <v>41</v>
      </c>
    </row>
    <row r="24" customFormat="false" ht="15" hidden="false" customHeight="false" outlineLevel="0" collapsed="false">
      <c r="A24" s="9" t="s">
        <v>42</v>
      </c>
      <c r="B24" s="9" t="s">
        <v>43</v>
      </c>
    </row>
    <row r="25" customFormat="false" ht="15" hidden="false" customHeight="false" outlineLevel="0" collapsed="false">
      <c r="A25" s="5" t="s">
        <v>44</v>
      </c>
      <c r="B25" s="14" t="n">
        <v>1.5</v>
      </c>
    </row>
    <row r="26" customFormat="false" ht="15" hidden="false" customHeight="false" outlineLevel="0" collapsed="false">
      <c r="A26" s="5" t="s">
        <v>19</v>
      </c>
      <c r="B26" s="14" t="n">
        <v>1</v>
      </c>
    </row>
    <row r="27" customFormat="false" ht="15" hidden="false" customHeight="false" outlineLevel="0" collapsed="false">
      <c r="A27" s="5" t="s">
        <v>45</v>
      </c>
      <c r="B27" s="14" t="n">
        <v>0.5</v>
      </c>
    </row>
    <row r="29" customFormat="false" ht="15" hidden="false" customHeight="false" outlineLevel="0" collapsed="false">
      <c r="A29" s="8" t="s">
        <v>46</v>
      </c>
    </row>
    <row r="30" customFormat="false" ht="15" hidden="false" customHeight="false" outlineLevel="0" collapsed="false">
      <c r="A30" s="5" t="s">
        <v>47</v>
      </c>
      <c r="B30" s="15" t="n">
        <v>5</v>
      </c>
    </row>
    <row r="31" customFormat="false" ht="15" hidden="false" customHeight="false" outlineLevel="0" collapsed="false">
      <c r="A31" s="5" t="s">
        <v>48</v>
      </c>
      <c r="B31" s="13" t="n">
        <v>0.8</v>
      </c>
    </row>
    <row r="32" customFormat="false" ht="15" hidden="false" customHeight="false" outlineLevel="0" collapsed="false">
      <c r="A32" s="5" t="s">
        <v>49</v>
      </c>
      <c r="B32" s="12" t="n">
        <v>8</v>
      </c>
    </row>
    <row r="34" customFormat="false" ht="15" hidden="false" customHeight="false" outlineLevel="0" collapsed="false">
      <c r="A34" s="5" t="s">
        <v>50</v>
      </c>
      <c r="B34" s="16" t="n">
        <f aca="false">B30*B31*B32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6" min="3" style="0" width="12"/>
    <col collapsed="false" customWidth="true" hidden="false" outlineLevel="0" max="7" min="7" style="0" width="14"/>
    <col collapsed="false" customWidth="true" hidden="false" outlineLevel="0" max="10" min="8" style="0" width="12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5" t="s">
        <v>18</v>
      </c>
      <c r="B2" s="17" t="str">
        <f aca="false">Inputs!B3</f>
        <v>Expected</v>
      </c>
    </row>
    <row r="3" customFormat="false" ht="15" hidden="false" customHeight="false" outlineLevel="0" collapsed="false">
      <c r="A3" s="5" t="s">
        <v>52</v>
      </c>
      <c r="B3" s="18" t="n">
        <f aca="false">IF(B2="Best",Inputs!B25,IF(B2="Worst",Inputs!B27,Inputs!B26))</f>
        <v>1</v>
      </c>
    </row>
    <row r="5" customFormat="false" ht="15" hidden="false" customHeight="false" outlineLevel="0" collapsed="false">
      <c r="A5" s="9" t="s">
        <v>53</v>
      </c>
      <c r="B5" s="9" t="s">
        <v>22</v>
      </c>
      <c r="C5" s="9" t="s">
        <v>54</v>
      </c>
      <c r="D5" s="9" t="s">
        <v>55</v>
      </c>
      <c r="E5" s="9" t="s">
        <v>56</v>
      </c>
      <c r="F5" s="9" t="s">
        <v>57</v>
      </c>
      <c r="G5" s="9" t="s">
        <v>58</v>
      </c>
      <c r="H5" s="9" t="s">
        <v>59</v>
      </c>
      <c r="I5" s="9" t="s">
        <v>60</v>
      </c>
      <c r="J5" s="9" t="s">
        <v>61</v>
      </c>
      <c r="K5" s="9" t="s">
        <v>62</v>
      </c>
    </row>
    <row r="6" customFormat="false" ht="15" hidden="false" customHeight="false" outlineLevel="0" collapsed="false">
      <c r="A6" s="19" t="n">
        <v>1</v>
      </c>
      <c r="B6" s="20" t="str">
        <f aca="false">Inputs!B7</f>
        <v>[Name your channel 1]</v>
      </c>
      <c r="C6" s="21" t="n">
        <f aca="false">IF($B$2="Best",Inputs!B13,IF($B$2="Worst",Inputs!D13,Inputs!C13))</f>
        <v>500</v>
      </c>
      <c r="D6" s="22" t="n">
        <f aca="false">C6*Inputs!$B$19</f>
        <v>2500</v>
      </c>
      <c r="E6" s="22" t="n">
        <f aca="false">D6*Inputs!$C$19*$B$3</f>
        <v>100</v>
      </c>
      <c r="F6" s="22" t="n">
        <f aca="false">E6*Inputs!$D$19*$B$3</f>
        <v>50</v>
      </c>
      <c r="G6" s="22" t="n">
        <f aca="false">F6*Inputs!$E$19*$B$3</f>
        <v>20</v>
      </c>
      <c r="H6" s="23" t="n">
        <f aca="false">IFERROR(C6/E6,0)</f>
        <v>5</v>
      </c>
      <c r="I6" s="24" t="n">
        <f aca="false">Inputs!$B$34</f>
        <v>32</v>
      </c>
      <c r="J6" s="25" t="n">
        <f aca="false">IFERROR(I6/H6,0)</f>
        <v>6.4</v>
      </c>
      <c r="K6" s="22" t="n">
        <f aca="false">SUM($F$6:F6)</f>
        <v>50</v>
      </c>
    </row>
    <row r="7" customFormat="false" ht="15" hidden="false" customHeight="false" outlineLevel="0" collapsed="false">
      <c r="A7" s="19" t="n">
        <v>1</v>
      </c>
      <c r="B7" s="20" t="str">
        <f aca="false">Inputs!B8</f>
        <v>[Name your channel 2]</v>
      </c>
      <c r="C7" s="21" t="n">
        <f aca="false">IF($B$2="Best",Inputs!B14,IF($B$2="Worst",Inputs!D14,Inputs!C14))</f>
        <v>200</v>
      </c>
      <c r="D7" s="22" t="n">
        <f aca="false">C7*Inputs!$B$20</f>
        <v>1600</v>
      </c>
      <c r="E7" s="22" t="n">
        <f aca="false">D7*Inputs!$C$20*$B$3</f>
        <v>160</v>
      </c>
      <c r="F7" s="22" t="n">
        <f aca="false">E7*Inputs!$D$20*$B$3</f>
        <v>88</v>
      </c>
      <c r="G7" s="22" t="n">
        <f aca="false">F7*Inputs!$E$20*$B$3</f>
        <v>39.6</v>
      </c>
      <c r="H7" s="23" t="n">
        <f aca="false">IFERROR(C7/E7,0)</f>
        <v>1.25</v>
      </c>
      <c r="I7" s="24" t="n">
        <f aca="false">Inputs!$B$34</f>
        <v>32</v>
      </c>
      <c r="J7" s="25" t="n">
        <f aca="false">IFERROR(I7/H7,0)</f>
        <v>25.6</v>
      </c>
      <c r="K7" s="22" t="n">
        <f aca="false">SUM($F$6:F7)</f>
        <v>138</v>
      </c>
    </row>
    <row r="8" customFormat="false" ht="15" hidden="false" customHeight="false" outlineLevel="0" collapsed="false">
      <c r="A8" s="19" t="n">
        <v>1</v>
      </c>
      <c r="B8" s="20" t="str">
        <f aca="false">Inputs!B9</f>
        <v>[Name your channel 3]</v>
      </c>
      <c r="C8" s="21" t="n">
        <f aca="false">IF($B$2="Best",Inputs!B15,IF($B$2="Worst",Inputs!D15,Inputs!C15))</f>
        <v>100</v>
      </c>
      <c r="D8" s="22" t="n">
        <f aca="false">C8*Inputs!$B$21</f>
        <v>100</v>
      </c>
      <c r="E8" s="22" t="n">
        <f aca="false">D8*Inputs!$C$21*$B$3</f>
        <v>10</v>
      </c>
      <c r="F8" s="22" t="n">
        <f aca="false">E8*Inputs!$D$21*$B$3</f>
        <v>5</v>
      </c>
      <c r="G8" s="22" t="n">
        <f aca="false">F8*Inputs!$E$21*$B$3</f>
        <v>2</v>
      </c>
      <c r="H8" s="23" t="n">
        <f aca="false">IFERROR(C8/E8,0)</f>
        <v>10</v>
      </c>
      <c r="I8" s="24" t="n">
        <f aca="false">Inputs!$B$34</f>
        <v>32</v>
      </c>
      <c r="J8" s="25" t="n">
        <f aca="false">IFERROR(I8/H8,0)</f>
        <v>3.2</v>
      </c>
      <c r="K8" s="22" t="n">
        <f aca="false">SUM($F$6:F8)</f>
        <v>143</v>
      </c>
    </row>
    <row r="9" customFormat="false" ht="15" hidden="false" customHeight="false" outlineLevel="0" collapsed="false">
      <c r="A9" s="19" t="n">
        <v>2</v>
      </c>
      <c r="B9" s="20" t="str">
        <f aca="false">Inputs!B7</f>
        <v>[Name your channel 1]</v>
      </c>
      <c r="C9" s="21" t="n">
        <f aca="false">IF($B$2="Best",Inputs!B13,IF($B$2="Worst",Inputs!D13,Inputs!C13))</f>
        <v>500</v>
      </c>
      <c r="D9" s="22" t="n">
        <f aca="false">C9*Inputs!$B$19</f>
        <v>2500</v>
      </c>
      <c r="E9" s="22" t="n">
        <f aca="false">D9*Inputs!$C$19*$B$3</f>
        <v>100</v>
      </c>
      <c r="F9" s="22" t="n">
        <f aca="false">E9*Inputs!$D$19*$B$3</f>
        <v>50</v>
      </c>
      <c r="G9" s="22" t="n">
        <f aca="false">F9*Inputs!$E$19*$B$3</f>
        <v>20</v>
      </c>
      <c r="H9" s="23" t="n">
        <f aca="false">IFERROR(C9/E9,0)</f>
        <v>5</v>
      </c>
      <c r="I9" s="24" t="n">
        <f aca="false">Inputs!$B$34</f>
        <v>32</v>
      </c>
      <c r="J9" s="25" t="n">
        <f aca="false">IFERROR(I9/H9,0)</f>
        <v>6.4</v>
      </c>
      <c r="K9" s="22" t="n">
        <f aca="false">SUM($F$6:F9)</f>
        <v>193</v>
      </c>
    </row>
    <row r="10" customFormat="false" ht="15" hidden="false" customHeight="false" outlineLevel="0" collapsed="false">
      <c r="A10" s="19" t="n">
        <v>2</v>
      </c>
      <c r="B10" s="20" t="str">
        <f aca="false">Inputs!B8</f>
        <v>[Name your channel 2]</v>
      </c>
      <c r="C10" s="21" t="n">
        <f aca="false">IF($B$2="Best",Inputs!B14,IF($B$2="Worst",Inputs!D14,Inputs!C14))</f>
        <v>200</v>
      </c>
      <c r="D10" s="22" t="n">
        <f aca="false">C10*Inputs!$B$20</f>
        <v>1600</v>
      </c>
      <c r="E10" s="22" t="n">
        <f aca="false">D10*Inputs!$C$20*$B$3</f>
        <v>160</v>
      </c>
      <c r="F10" s="22" t="n">
        <f aca="false">E10*Inputs!$D$20*$B$3</f>
        <v>88</v>
      </c>
      <c r="G10" s="22" t="n">
        <f aca="false">F10*Inputs!$E$20*$B$3</f>
        <v>39.6</v>
      </c>
      <c r="H10" s="23" t="n">
        <f aca="false">IFERROR(C10/E10,0)</f>
        <v>1.25</v>
      </c>
      <c r="I10" s="24" t="n">
        <f aca="false">Inputs!$B$34</f>
        <v>32</v>
      </c>
      <c r="J10" s="25" t="n">
        <f aca="false">IFERROR(I10/H10,0)</f>
        <v>25.6</v>
      </c>
      <c r="K10" s="22" t="n">
        <f aca="false">SUM($F$6:F10)</f>
        <v>281</v>
      </c>
    </row>
    <row r="11" customFormat="false" ht="15" hidden="false" customHeight="false" outlineLevel="0" collapsed="false">
      <c r="A11" s="19" t="n">
        <v>2</v>
      </c>
      <c r="B11" s="20" t="str">
        <f aca="false">Inputs!B9</f>
        <v>[Name your channel 3]</v>
      </c>
      <c r="C11" s="21" t="n">
        <f aca="false">IF($B$2="Best",Inputs!B15,IF($B$2="Worst",Inputs!D15,Inputs!C15))</f>
        <v>100</v>
      </c>
      <c r="D11" s="22" t="n">
        <f aca="false">C11*Inputs!$B$21</f>
        <v>100</v>
      </c>
      <c r="E11" s="22" t="n">
        <f aca="false">D11*Inputs!$C$21*$B$3</f>
        <v>10</v>
      </c>
      <c r="F11" s="22" t="n">
        <f aca="false">E11*Inputs!$D$21*$B$3</f>
        <v>5</v>
      </c>
      <c r="G11" s="22" t="n">
        <f aca="false">F11*Inputs!$E$21*$B$3</f>
        <v>2</v>
      </c>
      <c r="H11" s="23" t="n">
        <f aca="false">IFERROR(C11/E11,0)</f>
        <v>10</v>
      </c>
      <c r="I11" s="24" t="n">
        <f aca="false">Inputs!$B$34</f>
        <v>32</v>
      </c>
      <c r="J11" s="25" t="n">
        <f aca="false">IFERROR(I11/H11,0)</f>
        <v>3.2</v>
      </c>
      <c r="K11" s="22" t="n">
        <f aca="false">SUM($F$6:F11)</f>
        <v>286</v>
      </c>
    </row>
    <row r="12" customFormat="false" ht="15" hidden="false" customHeight="false" outlineLevel="0" collapsed="false">
      <c r="A12" s="19" t="n">
        <v>3</v>
      </c>
      <c r="B12" s="20" t="str">
        <f aca="false">Inputs!B7</f>
        <v>[Name your channel 1]</v>
      </c>
      <c r="C12" s="21" t="n">
        <f aca="false">IF($B$2="Best",Inputs!B13,IF($B$2="Worst",Inputs!D13,Inputs!C13))</f>
        <v>500</v>
      </c>
      <c r="D12" s="22" t="n">
        <f aca="false">C12*Inputs!$B$19</f>
        <v>2500</v>
      </c>
      <c r="E12" s="22" t="n">
        <f aca="false">D12*Inputs!$C$19*$B$3</f>
        <v>100</v>
      </c>
      <c r="F12" s="22" t="n">
        <f aca="false">E12*Inputs!$D$19*$B$3</f>
        <v>50</v>
      </c>
      <c r="G12" s="22" t="n">
        <f aca="false">F12*Inputs!$E$19*$B$3</f>
        <v>20</v>
      </c>
      <c r="H12" s="23" t="n">
        <f aca="false">IFERROR(C12/E12,0)</f>
        <v>5</v>
      </c>
      <c r="I12" s="24" t="n">
        <f aca="false">Inputs!$B$34</f>
        <v>32</v>
      </c>
      <c r="J12" s="25" t="n">
        <f aca="false">IFERROR(I12/H12,0)</f>
        <v>6.4</v>
      </c>
      <c r="K12" s="22" t="n">
        <f aca="false">SUM($F$6:F12)</f>
        <v>336</v>
      </c>
    </row>
    <row r="13" customFormat="false" ht="15" hidden="false" customHeight="false" outlineLevel="0" collapsed="false">
      <c r="A13" s="19" t="n">
        <v>3</v>
      </c>
      <c r="B13" s="20" t="str">
        <f aca="false">Inputs!B8</f>
        <v>[Name your channel 2]</v>
      </c>
      <c r="C13" s="21" t="n">
        <f aca="false">IF($B$2="Best",Inputs!B14,IF($B$2="Worst",Inputs!D14,Inputs!C14))</f>
        <v>200</v>
      </c>
      <c r="D13" s="22" t="n">
        <f aca="false">C13*Inputs!$B$20</f>
        <v>1600</v>
      </c>
      <c r="E13" s="22" t="n">
        <f aca="false">D13*Inputs!$C$20*$B$3</f>
        <v>160</v>
      </c>
      <c r="F13" s="22" t="n">
        <f aca="false">E13*Inputs!$D$20*$B$3</f>
        <v>88</v>
      </c>
      <c r="G13" s="22" t="n">
        <f aca="false">F13*Inputs!$E$20*$B$3</f>
        <v>39.6</v>
      </c>
      <c r="H13" s="23" t="n">
        <f aca="false">IFERROR(C13/E13,0)</f>
        <v>1.25</v>
      </c>
      <c r="I13" s="24" t="n">
        <f aca="false">Inputs!$B$34</f>
        <v>32</v>
      </c>
      <c r="J13" s="25" t="n">
        <f aca="false">IFERROR(I13/H13,0)</f>
        <v>25.6</v>
      </c>
      <c r="K13" s="22" t="n">
        <f aca="false">SUM($F$6:F13)</f>
        <v>424</v>
      </c>
    </row>
    <row r="14" customFormat="false" ht="15" hidden="false" customHeight="false" outlineLevel="0" collapsed="false">
      <c r="A14" s="19" t="n">
        <v>3</v>
      </c>
      <c r="B14" s="20" t="str">
        <f aca="false">Inputs!B9</f>
        <v>[Name your channel 3]</v>
      </c>
      <c r="C14" s="21" t="n">
        <f aca="false">IF($B$2="Best",Inputs!B15,IF($B$2="Worst",Inputs!D15,Inputs!C15))</f>
        <v>100</v>
      </c>
      <c r="D14" s="22" t="n">
        <f aca="false">C14*Inputs!$B$21</f>
        <v>100</v>
      </c>
      <c r="E14" s="22" t="n">
        <f aca="false">D14*Inputs!$C$21*$B$3</f>
        <v>10</v>
      </c>
      <c r="F14" s="22" t="n">
        <f aca="false">E14*Inputs!$D$21*$B$3</f>
        <v>5</v>
      </c>
      <c r="G14" s="22" t="n">
        <f aca="false">F14*Inputs!$E$21*$B$3</f>
        <v>2</v>
      </c>
      <c r="H14" s="23" t="n">
        <f aca="false">IFERROR(C14/E14,0)</f>
        <v>10</v>
      </c>
      <c r="I14" s="24" t="n">
        <f aca="false">Inputs!$B$34</f>
        <v>32</v>
      </c>
      <c r="J14" s="25" t="n">
        <f aca="false">IFERROR(I14/H14,0)</f>
        <v>3.2</v>
      </c>
      <c r="K14" s="22" t="n">
        <f aca="false">SUM($F$6:F14)</f>
        <v>429</v>
      </c>
    </row>
    <row r="15" customFormat="false" ht="15" hidden="false" customHeight="false" outlineLevel="0" collapsed="false">
      <c r="A15" s="19" t="n">
        <v>4</v>
      </c>
      <c r="B15" s="20" t="str">
        <f aca="false">Inputs!B7</f>
        <v>[Name your channel 1]</v>
      </c>
      <c r="C15" s="21" t="n">
        <f aca="false">IF($B$2="Best",Inputs!B13,IF($B$2="Worst",Inputs!D13,Inputs!C13))</f>
        <v>500</v>
      </c>
      <c r="D15" s="22" t="n">
        <f aca="false">C15*Inputs!$B$19</f>
        <v>2500</v>
      </c>
      <c r="E15" s="22" t="n">
        <f aca="false">D15*Inputs!$C$19*$B$3</f>
        <v>100</v>
      </c>
      <c r="F15" s="22" t="n">
        <f aca="false">E15*Inputs!$D$19*$B$3</f>
        <v>50</v>
      </c>
      <c r="G15" s="22" t="n">
        <f aca="false">F15*Inputs!$E$19*$B$3</f>
        <v>20</v>
      </c>
      <c r="H15" s="23" t="n">
        <f aca="false">IFERROR(C15/E15,0)</f>
        <v>5</v>
      </c>
      <c r="I15" s="24" t="n">
        <f aca="false">Inputs!$B$34</f>
        <v>32</v>
      </c>
      <c r="J15" s="25" t="n">
        <f aca="false">IFERROR(I15/H15,0)</f>
        <v>6.4</v>
      </c>
      <c r="K15" s="22" t="n">
        <f aca="false">SUM($F$6:F15)</f>
        <v>479</v>
      </c>
    </row>
    <row r="16" customFormat="false" ht="15" hidden="false" customHeight="false" outlineLevel="0" collapsed="false">
      <c r="A16" s="19" t="n">
        <v>4</v>
      </c>
      <c r="B16" s="20" t="str">
        <f aca="false">Inputs!B8</f>
        <v>[Name your channel 2]</v>
      </c>
      <c r="C16" s="21" t="n">
        <f aca="false">IF($B$2="Best",Inputs!B14,IF($B$2="Worst",Inputs!D14,Inputs!C14))</f>
        <v>200</v>
      </c>
      <c r="D16" s="22" t="n">
        <f aca="false">C16*Inputs!$B$20</f>
        <v>1600</v>
      </c>
      <c r="E16" s="22" t="n">
        <f aca="false">D16*Inputs!$C$20*$B$3</f>
        <v>160</v>
      </c>
      <c r="F16" s="22" t="n">
        <f aca="false">E16*Inputs!$D$20*$B$3</f>
        <v>88</v>
      </c>
      <c r="G16" s="22" t="n">
        <f aca="false">F16*Inputs!$E$20*$B$3</f>
        <v>39.6</v>
      </c>
      <c r="H16" s="23" t="n">
        <f aca="false">IFERROR(C16/E16,0)</f>
        <v>1.25</v>
      </c>
      <c r="I16" s="24" t="n">
        <f aca="false">Inputs!$B$34</f>
        <v>32</v>
      </c>
      <c r="J16" s="25" t="n">
        <f aca="false">IFERROR(I16/H16,0)</f>
        <v>25.6</v>
      </c>
      <c r="K16" s="22" t="n">
        <f aca="false">SUM($F$6:F16)</f>
        <v>567</v>
      </c>
    </row>
    <row r="17" customFormat="false" ht="15" hidden="false" customHeight="false" outlineLevel="0" collapsed="false">
      <c r="A17" s="19" t="n">
        <v>4</v>
      </c>
      <c r="B17" s="20" t="str">
        <f aca="false">Inputs!B9</f>
        <v>[Name your channel 3]</v>
      </c>
      <c r="C17" s="21" t="n">
        <f aca="false">IF($B$2="Best",Inputs!B15,IF($B$2="Worst",Inputs!D15,Inputs!C15))</f>
        <v>100</v>
      </c>
      <c r="D17" s="22" t="n">
        <f aca="false">C17*Inputs!$B$21</f>
        <v>100</v>
      </c>
      <c r="E17" s="22" t="n">
        <f aca="false">D17*Inputs!$C$21*$B$3</f>
        <v>10</v>
      </c>
      <c r="F17" s="22" t="n">
        <f aca="false">E17*Inputs!$D$21*$B$3</f>
        <v>5</v>
      </c>
      <c r="G17" s="22" t="n">
        <f aca="false">F17*Inputs!$E$21*$B$3</f>
        <v>2</v>
      </c>
      <c r="H17" s="23" t="n">
        <f aca="false">IFERROR(C17/E17,0)</f>
        <v>10</v>
      </c>
      <c r="I17" s="24" t="n">
        <f aca="false">Inputs!$B$34</f>
        <v>32</v>
      </c>
      <c r="J17" s="25" t="n">
        <f aca="false">IFERROR(I17/H17,0)</f>
        <v>3.2</v>
      </c>
      <c r="K17" s="22" t="n">
        <f aca="false">SUM($F$6:F17)</f>
        <v>572</v>
      </c>
    </row>
    <row r="18" customFormat="false" ht="15" hidden="false" customHeight="false" outlineLevel="0" collapsed="false">
      <c r="A18" s="19" t="n">
        <v>5</v>
      </c>
      <c r="B18" s="20" t="str">
        <f aca="false">Inputs!B7</f>
        <v>[Name your channel 1]</v>
      </c>
      <c r="C18" s="21" t="n">
        <f aca="false">IF($B$2="Best",Inputs!B13,IF($B$2="Worst",Inputs!D13,Inputs!C13))</f>
        <v>500</v>
      </c>
      <c r="D18" s="22" t="n">
        <f aca="false">C18*Inputs!$B$19</f>
        <v>2500</v>
      </c>
      <c r="E18" s="22" t="n">
        <f aca="false">D18*Inputs!$C$19*$B$3</f>
        <v>100</v>
      </c>
      <c r="F18" s="22" t="n">
        <f aca="false">E18*Inputs!$D$19*$B$3</f>
        <v>50</v>
      </c>
      <c r="G18" s="22" t="n">
        <f aca="false">F18*Inputs!$E$19*$B$3</f>
        <v>20</v>
      </c>
      <c r="H18" s="23" t="n">
        <f aca="false">IFERROR(C18/E18,0)</f>
        <v>5</v>
      </c>
      <c r="I18" s="24" t="n">
        <f aca="false">Inputs!$B$34</f>
        <v>32</v>
      </c>
      <c r="J18" s="25" t="n">
        <f aca="false">IFERROR(I18/H18,0)</f>
        <v>6.4</v>
      </c>
      <c r="K18" s="22" t="n">
        <f aca="false">SUM($F$6:F18)</f>
        <v>622</v>
      </c>
    </row>
    <row r="19" customFormat="false" ht="15" hidden="false" customHeight="false" outlineLevel="0" collapsed="false">
      <c r="A19" s="19" t="n">
        <v>5</v>
      </c>
      <c r="B19" s="20" t="str">
        <f aca="false">Inputs!B8</f>
        <v>[Name your channel 2]</v>
      </c>
      <c r="C19" s="21" t="n">
        <f aca="false">IF($B$2="Best",Inputs!B14,IF($B$2="Worst",Inputs!D14,Inputs!C14))</f>
        <v>200</v>
      </c>
      <c r="D19" s="22" t="n">
        <f aca="false">C19*Inputs!$B$20</f>
        <v>1600</v>
      </c>
      <c r="E19" s="22" t="n">
        <f aca="false">D19*Inputs!$C$20*$B$3</f>
        <v>160</v>
      </c>
      <c r="F19" s="22" t="n">
        <f aca="false">E19*Inputs!$D$20*$B$3</f>
        <v>88</v>
      </c>
      <c r="G19" s="22" t="n">
        <f aca="false">F19*Inputs!$E$20*$B$3</f>
        <v>39.6</v>
      </c>
      <c r="H19" s="23" t="n">
        <f aca="false">IFERROR(C19/E19,0)</f>
        <v>1.25</v>
      </c>
      <c r="I19" s="24" t="n">
        <f aca="false">Inputs!$B$34</f>
        <v>32</v>
      </c>
      <c r="J19" s="25" t="n">
        <f aca="false">IFERROR(I19/H19,0)</f>
        <v>25.6</v>
      </c>
      <c r="K19" s="22" t="n">
        <f aca="false">SUM($F$6:F19)</f>
        <v>710</v>
      </c>
    </row>
    <row r="20" customFormat="false" ht="15" hidden="false" customHeight="false" outlineLevel="0" collapsed="false">
      <c r="A20" s="19" t="n">
        <v>5</v>
      </c>
      <c r="B20" s="20" t="str">
        <f aca="false">Inputs!B9</f>
        <v>[Name your channel 3]</v>
      </c>
      <c r="C20" s="21" t="n">
        <f aca="false">IF($B$2="Best",Inputs!B15,IF($B$2="Worst",Inputs!D15,Inputs!C15))</f>
        <v>100</v>
      </c>
      <c r="D20" s="22" t="n">
        <f aca="false">C20*Inputs!$B$21</f>
        <v>100</v>
      </c>
      <c r="E20" s="22" t="n">
        <f aca="false">D20*Inputs!$C$21*$B$3</f>
        <v>10</v>
      </c>
      <c r="F20" s="22" t="n">
        <f aca="false">E20*Inputs!$D$21*$B$3</f>
        <v>5</v>
      </c>
      <c r="G20" s="22" t="n">
        <f aca="false">F20*Inputs!$E$21*$B$3</f>
        <v>2</v>
      </c>
      <c r="H20" s="23" t="n">
        <f aca="false">IFERROR(C20/E20,0)</f>
        <v>10</v>
      </c>
      <c r="I20" s="24" t="n">
        <f aca="false">Inputs!$B$34</f>
        <v>32</v>
      </c>
      <c r="J20" s="25" t="n">
        <f aca="false">IFERROR(I20/H20,0)</f>
        <v>3.2</v>
      </c>
      <c r="K20" s="22" t="n">
        <f aca="false">SUM($F$6:F20)</f>
        <v>715</v>
      </c>
    </row>
    <row r="21" customFormat="false" ht="15" hidden="false" customHeight="false" outlineLevel="0" collapsed="false">
      <c r="A21" s="19" t="n">
        <v>6</v>
      </c>
      <c r="B21" s="20" t="str">
        <f aca="false">Inputs!B7</f>
        <v>[Name your channel 1]</v>
      </c>
      <c r="C21" s="21" t="n">
        <f aca="false">IF($B$2="Best",Inputs!B13,IF($B$2="Worst",Inputs!D13,Inputs!C13))</f>
        <v>500</v>
      </c>
      <c r="D21" s="22" t="n">
        <f aca="false">C21*Inputs!$B$19</f>
        <v>2500</v>
      </c>
      <c r="E21" s="22" t="n">
        <f aca="false">D21*Inputs!$C$19*$B$3</f>
        <v>100</v>
      </c>
      <c r="F21" s="22" t="n">
        <f aca="false">E21*Inputs!$D$19*$B$3</f>
        <v>50</v>
      </c>
      <c r="G21" s="22" t="n">
        <f aca="false">F21*Inputs!$E$19*$B$3</f>
        <v>20</v>
      </c>
      <c r="H21" s="23" t="n">
        <f aca="false">IFERROR(C21/E21,0)</f>
        <v>5</v>
      </c>
      <c r="I21" s="24" t="n">
        <f aca="false">Inputs!$B$34</f>
        <v>32</v>
      </c>
      <c r="J21" s="25" t="n">
        <f aca="false">IFERROR(I21/H21,0)</f>
        <v>6.4</v>
      </c>
      <c r="K21" s="22" t="n">
        <f aca="false">SUM($F$6:F21)</f>
        <v>765</v>
      </c>
    </row>
    <row r="22" customFormat="false" ht="15" hidden="false" customHeight="false" outlineLevel="0" collapsed="false">
      <c r="A22" s="19" t="n">
        <v>6</v>
      </c>
      <c r="B22" s="20" t="str">
        <f aca="false">Inputs!B8</f>
        <v>[Name your channel 2]</v>
      </c>
      <c r="C22" s="21" t="n">
        <f aca="false">IF($B$2="Best",Inputs!B14,IF($B$2="Worst",Inputs!D14,Inputs!C14))</f>
        <v>200</v>
      </c>
      <c r="D22" s="22" t="n">
        <f aca="false">C22*Inputs!$B$20</f>
        <v>1600</v>
      </c>
      <c r="E22" s="22" t="n">
        <f aca="false">D22*Inputs!$C$20*$B$3</f>
        <v>160</v>
      </c>
      <c r="F22" s="22" t="n">
        <f aca="false">E22*Inputs!$D$20*$B$3</f>
        <v>88</v>
      </c>
      <c r="G22" s="22" t="n">
        <f aca="false">F22*Inputs!$E$20*$B$3</f>
        <v>39.6</v>
      </c>
      <c r="H22" s="23" t="n">
        <f aca="false">IFERROR(C22/E22,0)</f>
        <v>1.25</v>
      </c>
      <c r="I22" s="24" t="n">
        <f aca="false">Inputs!$B$34</f>
        <v>32</v>
      </c>
      <c r="J22" s="25" t="n">
        <f aca="false">IFERROR(I22/H22,0)</f>
        <v>25.6</v>
      </c>
      <c r="K22" s="22" t="n">
        <f aca="false">SUM($F$6:F22)</f>
        <v>853</v>
      </c>
    </row>
    <row r="23" customFormat="false" ht="15" hidden="false" customHeight="false" outlineLevel="0" collapsed="false">
      <c r="A23" s="19" t="n">
        <v>6</v>
      </c>
      <c r="B23" s="20" t="str">
        <f aca="false">Inputs!B9</f>
        <v>[Name your channel 3]</v>
      </c>
      <c r="C23" s="21" t="n">
        <f aca="false">IF($B$2="Best",Inputs!B15,IF($B$2="Worst",Inputs!D15,Inputs!C15))</f>
        <v>100</v>
      </c>
      <c r="D23" s="22" t="n">
        <f aca="false">C23*Inputs!$B$21</f>
        <v>100</v>
      </c>
      <c r="E23" s="22" t="n">
        <f aca="false">D23*Inputs!$C$21*$B$3</f>
        <v>10</v>
      </c>
      <c r="F23" s="22" t="n">
        <f aca="false">E23*Inputs!$D$21*$B$3</f>
        <v>5</v>
      </c>
      <c r="G23" s="22" t="n">
        <f aca="false">F23*Inputs!$E$21*$B$3</f>
        <v>2</v>
      </c>
      <c r="H23" s="23" t="n">
        <f aca="false">IFERROR(C23/E23,0)</f>
        <v>10</v>
      </c>
      <c r="I23" s="24" t="n">
        <f aca="false">Inputs!$B$34</f>
        <v>32</v>
      </c>
      <c r="J23" s="25" t="n">
        <f aca="false">IFERROR(I23/H23,0)</f>
        <v>3.2</v>
      </c>
      <c r="K23" s="22" t="n">
        <f aca="false">SUM($F$6:F23)</f>
        <v>858</v>
      </c>
    </row>
    <row r="24" customFormat="false" ht="15" hidden="false" customHeight="false" outlineLevel="0" collapsed="false">
      <c r="A24" s="8" t="s">
        <v>63</v>
      </c>
      <c r="B24" s="26"/>
      <c r="C24" s="27" t="n">
        <f aca="false">SUM(C6:C23)</f>
        <v>4800</v>
      </c>
      <c r="D24" s="28" t="n">
        <f aca="false">SUM(D6:D23)</f>
        <v>25200</v>
      </c>
      <c r="E24" s="28" t="n">
        <f aca="false">SUM(E6:E23)</f>
        <v>1620</v>
      </c>
      <c r="F24" s="28" t="n">
        <f aca="false">SUM(F6:F23)</f>
        <v>858</v>
      </c>
      <c r="G24" s="28" t="n">
        <f aca="false">SUM(G6:G23)</f>
        <v>369.6</v>
      </c>
      <c r="H24" s="29" t="n">
        <f aca="false">IFERROR(C24/E24,0)</f>
        <v>2.96296296296296</v>
      </c>
      <c r="I24" s="29" t="n">
        <f aca="false">Inputs!$B$34</f>
        <v>32</v>
      </c>
      <c r="J24" s="30" t="n">
        <f aca="false">IFERROR(I24/H24,0)</f>
        <v>10.8</v>
      </c>
      <c r="K24" s="28" t="n">
        <f aca="false">SUM($F$6:F23)</f>
        <v>858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64</v>
      </c>
      <c r="B1" s="1"/>
      <c r="C1" s="1"/>
      <c r="D1" s="1"/>
      <c r="E1" s="1"/>
    </row>
    <row r="3" customFormat="false" ht="15" hidden="false" customHeight="false" outlineLevel="0" collapsed="false">
      <c r="A3" s="5" t="s">
        <v>18</v>
      </c>
      <c r="B3" s="31" t="str">
        <f aca="false">Inputs!B3</f>
        <v>Expected</v>
      </c>
    </row>
    <row r="5" customFormat="false" ht="15" hidden="false" customHeight="false" outlineLevel="0" collapsed="false">
      <c r="A5" s="9" t="s">
        <v>53</v>
      </c>
      <c r="B5" s="9" t="s">
        <v>65</v>
      </c>
      <c r="C5" s="9" t="s">
        <v>66</v>
      </c>
      <c r="D5" s="9" t="s">
        <v>67</v>
      </c>
      <c r="E5" s="9" t="s">
        <v>68</v>
      </c>
    </row>
    <row r="6" customFormat="false" ht="15" hidden="false" customHeight="false" outlineLevel="0" collapsed="false">
      <c r="A6" s="19" t="n">
        <v>1</v>
      </c>
      <c r="B6" s="32" t="n">
        <f aca="false">SUM(Calculations!C6:C8)</f>
        <v>800</v>
      </c>
      <c r="C6" s="33" t="n">
        <f aca="false">SUM(Calculations!E6:E8)</f>
        <v>270</v>
      </c>
      <c r="D6" s="33" t="n">
        <f aca="false">SUM(Calculations!F6:F8)</f>
        <v>143</v>
      </c>
      <c r="E6" s="34" t="n">
        <f aca="false">SUM(D$6:D6)</f>
        <v>143</v>
      </c>
    </row>
    <row r="7" customFormat="false" ht="15" hidden="false" customHeight="false" outlineLevel="0" collapsed="false">
      <c r="A7" s="19" t="n">
        <v>2</v>
      </c>
      <c r="B7" s="32" t="n">
        <f aca="false">SUM(Calculations!C9:C11)</f>
        <v>800</v>
      </c>
      <c r="C7" s="33" t="n">
        <f aca="false">SUM(Calculations!E9:E11)</f>
        <v>270</v>
      </c>
      <c r="D7" s="33" t="n">
        <f aca="false">SUM(Calculations!F9:F11)</f>
        <v>143</v>
      </c>
      <c r="E7" s="34" t="n">
        <f aca="false">SUM(D$6:D7)</f>
        <v>286</v>
      </c>
    </row>
    <row r="8" customFormat="false" ht="15" hidden="false" customHeight="false" outlineLevel="0" collapsed="false">
      <c r="A8" s="19" t="n">
        <v>3</v>
      </c>
      <c r="B8" s="32" t="n">
        <f aca="false">SUM(Calculations!C12:C14)</f>
        <v>800</v>
      </c>
      <c r="C8" s="33" t="n">
        <f aca="false">SUM(Calculations!E12:E14)</f>
        <v>270</v>
      </c>
      <c r="D8" s="33" t="n">
        <f aca="false">SUM(Calculations!F12:F14)</f>
        <v>143</v>
      </c>
      <c r="E8" s="34" t="n">
        <f aca="false">SUM(D$6:D8)</f>
        <v>429</v>
      </c>
    </row>
    <row r="9" customFormat="false" ht="15" hidden="false" customHeight="false" outlineLevel="0" collapsed="false">
      <c r="A9" s="19" t="n">
        <v>4</v>
      </c>
      <c r="B9" s="32" t="n">
        <f aca="false">SUM(Calculations!C15:C17)</f>
        <v>800</v>
      </c>
      <c r="C9" s="33" t="n">
        <f aca="false">SUM(Calculations!E15:E17)</f>
        <v>270</v>
      </c>
      <c r="D9" s="33" t="n">
        <f aca="false">SUM(Calculations!F15:F17)</f>
        <v>143</v>
      </c>
      <c r="E9" s="34" t="n">
        <f aca="false">SUM(D$6:D9)</f>
        <v>572</v>
      </c>
    </row>
    <row r="10" customFormat="false" ht="15" hidden="false" customHeight="false" outlineLevel="0" collapsed="false">
      <c r="A10" s="19" t="n">
        <v>5</v>
      </c>
      <c r="B10" s="32" t="n">
        <f aca="false">SUM(Calculations!C18:C20)</f>
        <v>800</v>
      </c>
      <c r="C10" s="33" t="n">
        <f aca="false">SUM(Calculations!E18:E20)</f>
        <v>270</v>
      </c>
      <c r="D10" s="33" t="n">
        <f aca="false">SUM(Calculations!F18:F20)</f>
        <v>143</v>
      </c>
      <c r="E10" s="34" t="n">
        <f aca="false">SUM(D$6:D10)</f>
        <v>715</v>
      </c>
    </row>
    <row r="11" customFormat="false" ht="15" hidden="false" customHeight="false" outlineLevel="0" collapsed="false">
      <c r="A11" s="19" t="n">
        <v>6</v>
      </c>
      <c r="B11" s="32" t="n">
        <f aca="false">SUM(Calculations!C21:C23)</f>
        <v>800</v>
      </c>
      <c r="C11" s="33" t="n">
        <f aca="false">SUM(Calculations!E21:E23)</f>
        <v>270</v>
      </c>
      <c r="D11" s="33" t="n">
        <f aca="false">SUM(Calculations!F21:F23)</f>
        <v>143</v>
      </c>
      <c r="E11" s="34" t="n">
        <f aca="false">SUM(D$6:D11)</f>
        <v>858</v>
      </c>
    </row>
    <row r="14" customFormat="false" ht="15" hidden="false" customHeight="false" outlineLevel="0" collapsed="false">
      <c r="A14" s="35" t="s">
        <v>69</v>
      </c>
      <c r="B14" s="35"/>
      <c r="C14" s="35"/>
      <c r="D14" s="35"/>
      <c r="E14" s="35"/>
    </row>
    <row r="15" customFormat="false" ht="15" hidden="false" customHeight="false" outlineLevel="0" collapsed="false">
      <c r="A15" s="36" t="s">
        <v>70</v>
      </c>
      <c r="B15" s="21" t="n">
        <f aca="false">SUM(B6:B11)</f>
        <v>4800</v>
      </c>
    </row>
    <row r="16" customFormat="false" ht="15" hidden="false" customHeight="false" outlineLevel="0" collapsed="false">
      <c r="A16" s="36" t="s">
        <v>71</v>
      </c>
      <c r="B16" s="22" t="n">
        <f aca="false">SUM(C6:C11)</f>
        <v>1620</v>
      </c>
    </row>
    <row r="17" customFormat="false" ht="15" hidden="false" customHeight="false" outlineLevel="0" collapsed="false">
      <c r="A17" s="36" t="s">
        <v>72</v>
      </c>
      <c r="B17" s="22" t="n">
        <f aca="false">SUM(D6:D11)</f>
        <v>858</v>
      </c>
    </row>
    <row r="18" customFormat="false" ht="15" hidden="false" customHeight="false" outlineLevel="0" collapsed="false">
      <c r="A18" s="36" t="s">
        <v>73</v>
      </c>
      <c r="B18" s="23" t="n">
        <f aca="false">IFERROR(B15/B16,0)</f>
        <v>2.96296296296296</v>
      </c>
    </row>
    <row r="19" customFormat="false" ht="15" hidden="false" customHeight="false" outlineLevel="0" collapsed="false">
      <c r="A19" s="36" t="s">
        <v>60</v>
      </c>
      <c r="B19" s="24" t="n">
        <f aca="false">Inputs!$B$34</f>
        <v>32</v>
      </c>
    </row>
    <row r="20" customFormat="false" ht="15" hidden="false" customHeight="false" outlineLevel="0" collapsed="false">
      <c r="A20" s="36" t="s">
        <v>74</v>
      </c>
      <c r="B20" s="25" t="n">
        <f aca="false">IFERROR(B19/B18,0)</f>
        <v>10.8</v>
      </c>
    </row>
    <row r="21" customFormat="false" ht="15" hidden="false" customHeight="false" outlineLevel="0" collapsed="false">
      <c r="A21" s="36" t="s">
        <v>75</v>
      </c>
      <c r="B21" s="37" t="n">
        <v>3</v>
      </c>
    </row>
    <row r="22" customFormat="false" ht="15" hidden="false" customHeight="false" outlineLevel="0" collapsed="false">
      <c r="A22" s="36" t="s">
        <v>76</v>
      </c>
      <c r="B22" s="38" t="str">
        <f aca="false">IF(B20&gt;=B21,"HEALTHY",IF(B20&gt;=1,"BORDERLINE","UNHEALTHY"))</f>
        <v>HEALTHY</v>
      </c>
    </row>
  </sheetData>
  <mergeCells count="2">
    <mergeCell ref="A1:E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2026-05-05T19:08:59Z</dcterms:created>
  <dc:creator>openpyxl</dc:creator>
  <dc:description/>
  <dc:language>en-US</dc:language>
  <cp:lastModifiedBy/>
  <dcterms:modified xsi:type="dcterms:W3CDTF">2026-05-05T19:09:08Z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